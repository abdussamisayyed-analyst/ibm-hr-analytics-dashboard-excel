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ll Projects Data Analytics\"/>
    </mc:Choice>
  </mc:AlternateContent>
  <xr:revisionPtr revIDLastSave="0" documentId="13_ncr:1_{63A6908F-5E25-4738-A4C7-5F4F02B428DF}" xr6:coauthVersionLast="47" xr6:coauthVersionMax="47" xr10:uidLastSave="{00000000-0000-0000-0000-000000000000}"/>
  <bookViews>
    <workbookView xWindow="-110" yWindow="-110" windowWidth="19420" windowHeight="11020" activeTab="2" xr2:uid="{4F495DC3-E083-475F-BB31-09EF7619F7A2}"/>
  </bookViews>
  <sheets>
    <sheet name="Analysis" sheetId="1" r:id="rId1"/>
    <sheet name="Sheet1" sheetId="2" r:id="rId2"/>
    <sheet name="Dashboard" sheetId="3" r:id="rId3"/>
  </sheets>
  <definedNames>
    <definedName name="_xlchart.v1.0" hidden="1">Sheet1!$AA$4:$AA$12</definedName>
    <definedName name="_xlchart.v1.1" hidden="1">Sheet1!$Y$4:$Y$12</definedName>
    <definedName name="_xlchart.v1.2" hidden="1">Sheet1!$Z$4:$Z$12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<sst xmlns="http://schemas.openxmlformats.org/spreadsheetml/2006/main" count="140" uniqueCount="59">
  <si>
    <t>Total_Employees</t>
  </si>
  <si>
    <t>Attrition_Rate</t>
  </si>
  <si>
    <t>Avg_Monthly_Income</t>
  </si>
  <si>
    <t>Avg_Tenure</t>
  </si>
  <si>
    <t>Overtime_Percentage</t>
  </si>
  <si>
    <t>Department</t>
  </si>
  <si>
    <t>Attrition_Count</t>
  </si>
  <si>
    <t>Sales</t>
  </si>
  <si>
    <t>Research &amp; Development</t>
  </si>
  <si>
    <t>Human Resources</t>
  </si>
  <si>
    <t xml:space="preserve"> attrition by department</t>
  </si>
  <si>
    <t>job role vs attriton</t>
  </si>
  <si>
    <t>JobRole</t>
  </si>
  <si>
    <t>Left_Count</t>
  </si>
  <si>
    <t>Stayed_Count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</si>
  <si>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</si>
  <si>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</si>
  <si>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</si>
  <si>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</si>
  <si>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</si>
  <si>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</si>
  <si>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</si>
  <si>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</si>
  <si>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salary range vs attrition</t>
  </si>
  <si>
    <t>Salary_Bucket</t>
  </si>
  <si>
    <t>01. Low ($0-$5k)</t>
  </si>
  <si>
    <t>02. Mid ($5k-$10k)</t>
  </si>
  <si>
    <t>03. High ($10k-$15k)</t>
  </si>
  <si>
    <t>04. Executive ($15k+)</t>
  </si>
  <si>
    <t>education field vs attrition</t>
  </si>
  <si>
    <t>EducationField</t>
  </si>
  <si>
    <t>Life Sciences</t>
  </si>
  <si>
    <t>Other</t>
  </si>
  <si>
    <t>Medical</t>
  </si>
  <si>
    <t>Marketing</t>
  </si>
  <si>
    <t>Technical Degree</t>
  </si>
  <si>
    <t>age group vs attrition</t>
  </si>
  <si>
    <t>Age_Group</t>
  </si>
  <si>
    <t>18-24</t>
  </si>
  <si>
    <t>25-34</t>
  </si>
  <si>
    <t>35-44</t>
  </si>
  <si>
    <t>45-54</t>
  </si>
  <si>
    <t>55+</t>
  </si>
  <si>
    <t>gender and marital status</t>
  </si>
  <si>
    <t>Gender</t>
  </si>
  <si>
    <t>MaritalStatus</t>
  </si>
  <si>
    <t>Female</t>
  </si>
  <si>
    <t>Single</t>
  </si>
  <si>
    <t>Male</t>
  </si>
  <si>
    <t>Married</t>
  </si>
  <si>
    <t>Divorced</t>
  </si>
  <si>
    <t>Sum of Total_Employees</t>
  </si>
  <si>
    <t>Sum of Attrition_Count</t>
  </si>
  <si>
    <t>Row Labels</t>
  </si>
  <si>
    <t>Grand Total</t>
  </si>
  <si>
    <t>Sum of Left_Count</t>
  </si>
  <si>
    <t>Sum of Stayed_Count</t>
  </si>
  <si>
    <t>Sum of Attrition_Rate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</si>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</sst>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3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Dashboard MY.xlsx]Sheet1!PivotTable33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Left_Count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C-4F3C-8C33-BEEC565F0CA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Stayed_Count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C-4F3C-8C33-BEEC565F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81952639"/>
        <c:axId val="1381946879"/>
      </c:barChart>
      <c:catAx>
        <c:axId val="138195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46879"/>
        <c:crosses val="autoZero"/>
        <c:auto val="1"/>
        <c:lblAlgn val="ctr"/>
        <c:lblOffset val="100"/>
        <c:noMultiLvlLbl val="0"/>
      </c:catAx>
      <c:valAx>
        <c:axId val="138194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5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Dashboard MY.xlsx]Sheet1!PivotTable44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Sum of Left_Count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Sheet1!$E$4:$E$13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Sheet1!$F$4:$F$13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F-4D42-AB97-EDE6AF354B34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Sum of Stayed_Count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Sheet1!$E$4:$E$13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F-4D42-AB97-EDE6AF3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1907519"/>
        <c:axId val="1381909439"/>
      </c:barChart>
      <c:catAx>
        <c:axId val="13819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09439"/>
        <c:crosses val="autoZero"/>
        <c:auto val="1"/>
        <c:lblAlgn val="ctr"/>
        <c:lblOffset val="100"/>
        <c:noMultiLvlLbl val="0"/>
      </c:catAx>
      <c:valAx>
        <c:axId val="138190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0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Dashboard MY.xlsx]Sheet1!PivotTable34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Sum of Total_Employees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Sheet1!$I$4:$I$8</c:f>
              <c:strCache>
                <c:ptCount val="4"/>
                <c:pt idx="0">
                  <c:v>01. Low ($0-$5k)</c:v>
                </c:pt>
                <c:pt idx="1">
                  <c:v>02. Mid ($5k-$10k)</c:v>
                </c:pt>
                <c:pt idx="2">
                  <c:v>03. High ($10k-$15k)</c:v>
                </c:pt>
                <c:pt idx="3">
                  <c:v>04. Executive ($15k+)</c:v>
                </c:pt>
              </c:strCache>
            </c:strRef>
          </c:cat>
          <c:val>
            <c:numRef>
              <c:f>Sheet1!$J$4:$J$8</c:f>
              <c:numCache>
                <c:formatCode>General</c:formatCode>
                <c:ptCount val="4"/>
                <c:pt idx="0">
                  <c:v>749</c:v>
                </c:pt>
                <c:pt idx="1">
                  <c:v>440</c:v>
                </c:pt>
                <c:pt idx="2">
                  <c:v>148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F-4749-9B1C-0C2BA8FE1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979039"/>
        <c:axId val="1381963199"/>
      </c:barChar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Sum of Attrition_Count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Sheet1!$I$4:$I$8</c:f>
              <c:strCache>
                <c:ptCount val="4"/>
                <c:pt idx="0">
                  <c:v>01. Low ($0-$5k)</c:v>
                </c:pt>
                <c:pt idx="1">
                  <c:v>02. Mid ($5k-$10k)</c:v>
                </c:pt>
                <c:pt idx="2">
                  <c:v>03. High ($10k-$15k)</c:v>
                </c:pt>
                <c:pt idx="3">
                  <c:v>04. Executive ($15k+)</c:v>
                </c:pt>
              </c:strCache>
            </c:strRef>
          </c:cat>
          <c:val>
            <c:numRef>
              <c:f>Sheet1!$K$4:$K$8</c:f>
              <c:numCache>
                <c:formatCode>General</c:formatCode>
                <c:ptCount val="4"/>
                <c:pt idx="0">
                  <c:v>163</c:v>
                </c:pt>
                <c:pt idx="1">
                  <c:v>49</c:v>
                </c:pt>
                <c:pt idx="2">
                  <c:v>20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F-4749-9B1C-0C2BA8FE1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979039"/>
        <c:axId val="1381963199"/>
      </c:lineChart>
      <c:catAx>
        <c:axId val="13819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63199"/>
        <c:crosses val="autoZero"/>
        <c:auto val="1"/>
        <c:lblAlgn val="ctr"/>
        <c:lblOffset val="100"/>
        <c:noMultiLvlLbl val="0"/>
      </c:catAx>
      <c:valAx>
        <c:axId val="138196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Dashboard MY.xlsx]Sheet1!PivotTable35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74-4FDD-B655-F885D7B034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74-4FDD-B655-F885D7B034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74-4FDD-B655-F885D7B034B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74-4FDD-B655-F885D7B034B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D74-4FDD-B655-F885D7B034B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D74-4FDD-B655-F885D7B034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Sheet1!$M$4:$M$10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Sheet1!$N$4:$N$10</c:f>
              <c:numCache>
                <c:formatCode>General</c:formatCode>
                <c:ptCount val="6"/>
                <c:pt idx="0">
                  <c:v>7</c:v>
                </c:pt>
                <c:pt idx="1">
                  <c:v>89</c:v>
                </c:pt>
                <c:pt idx="2">
                  <c:v>35</c:v>
                </c:pt>
                <c:pt idx="3">
                  <c:v>63</c:v>
                </c:pt>
                <c:pt idx="4">
                  <c:v>11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74-4FDD-B655-F885D7B03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Dashboard MY.xlsx]Sheet1!PivotTable36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376838737593902E-2"/>
          <c:y val="0.41526760897432868"/>
          <c:w val="0.75610591017293616"/>
          <c:h val="0.31885134805407012"/>
        </c:manualLayout>
      </c:layout>
      <c:areaChart>
        <c:grouping val="standar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Sheet1!$P$4:$P$9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Sheet1!$Q$4:$Q$9</c:f>
              <c:numCache>
                <c:formatCode>General</c:formatCode>
                <c:ptCount val="5"/>
                <c:pt idx="0">
                  <c:v>39.18</c:v>
                </c:pt>
                <c:pt idx="1">
                  <c:v>20.22</c:v>
                </c:pt>
                <c:pt idx="2">
                  <c:v>10.1</c:v>
                </c:pt>
                <c:pt idx="3">
                  <c:v>10.199999999999999</c:v>
                </c:pt>
                <c:pt idx="4">
                  <c:v>15.94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2-4B0C-9872-B093575CF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939679"/>
        <c:axId val="1381948319"/>
      </c:areaChart>
      <c:catAx>
        <c:axId val="1381939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48319"/>
        <c:crosses val="autoZero"/>
        <c:auto val="1"/>
        <c:lblAlgn val="ctr"/>
        <c:lblOffset val="100"/>
        <c:noMultiLvlLbl val="0"/>
      </c:catAx>
      <c:valAx>
        <c:axId val="13819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3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_xlchart.v1.2</cx:f>
      </cx:numDim>
    </cx:data>
    <cx:data id="1">
      <cx:strDim type="cat">
        <cx:f>_xlchart.v1.1</cx:f>
      </cx:strDim>
      <cx:numDim type="size">
        <cx:f>_xlchart.v1.0</cx:f>
      </cx:numDim>
    </cx:data>
  </cx:chartData>
  <cx:chart>
    <cx:title pos="t" align="ctr" overlay="0"/>
    <cx:plotArea>
      <cx:plotAreaRegion>
        <cx:series layoutId="treemap" uniqueId="{B4CD4C08-1EBC-404E-ADDC-E2B6C7DDA772}" formatIdx="0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BA7EC243-5D92-4F4F-AB25-B21903B597DA}" formatIdx="1"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53340</xdr:rowOff>
    </xdr:from>
    <xdr:to>
      <xdr:col>7</xdr:col>
      <xdr:colOff>15240</xdr:colOff>
      <xdr:row>4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6732F8-E78B-F076-BE85-EEE27C8D6E4C}"/>
            </a:ext>
          </a:extLst>
        </xdr:cNvPr>
        <xdr:cNvSpPr/>
      </xdr:nvSpPr>
      <xdr:spPr>
        <a:xfrm>
          <a:off x="30480" y="53340"/>
          <a:ext cx="4251960" cy="78486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AE" sz="2400" b="1">
              <a:solidFill>
                <a:schemeClr val="tx1"/>
              </a:solidFill>
            </a:rPr>
            <a:t>HR Analytic Dashboard</a:t>
          </a:r>
        </a:p>
        <a:p>
          <a:pPr algn="l"/>
          <a:endParaRPr lang="en-AE" sz="11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7</xdr:col>
      <xdr:colOff>99060</xdr:colOff>
      <xdr:row>0</xdr:row>
      <xdr:rowOff>53341</xdr:rowOff>
    </xdr:from>
    <xdr:to>
      <xdr:col>10</xdr:col>
      <xdr:colOff>76200</xdr:colOff>
      <xdr:row>4</xdr:row>
      <xdr:rowOff>101914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9B3FE6F-4D1E-46ED-A385-6684549E88D4}"/>
            </a:ext>
          </a:extLst>
        </xdr:cNvPr>
        <xdr:cNvSpPr/>
      </xdr:nvSpPr>
      <xdr:spPr>
        <a:xfrm>
          <a:off x="4434307" y="53341"/>
          <a:ext cx="1835103" cy="76980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800" b="1">
              <a:solidFill>
                <a:schemeClr val="tx1"/>
              </a:solidFill>
            </a:rPr>
            <a:t>Total Employee</a:t>
          </a:r>
        </a:p>
        <a:p>
          <a:pPr algn="ctr"/>
          <a:r>
            <a:rPr lang="en-AE" sz="2000" b="1">
              <a:solidFill>
                <a:schemeClr val="tx1"/>
              </a:solidFill>
            </a:rPr>
            <a:t>1470</a:t>
          </a:r>
        </a:p>
      </xdr:txBody>
    </xdr:sp>
    <xdr:clientData/>
  </xdr:twoCellAnchor>
  <xdr:twoCellAnchor>
    <xdr:from>
      <xdr:col>10</xdr:col>
      <xdr:colOff>152400</xdr:colOff>
      <xdr:row>0</xdr:row>
      <xdr:rowOff>38100</xdr:rowOff>
    </xdr:from>
    <xdr:to>
      <xdr:col>13</xdr:col>
      <xdr:colOff>266700</xdr:colOff>
      <xdr:row>4</xdr:row>
      <xdr:rowOff>94074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295A235-E2B1-4B45-B379-A30396117091}"/>
            </a:ext>
          </a:extLst>
        </xdr:cNvPr>
        <xdr:cNvSpPr/>
      </xdr:nvSpPr>
      <xdr:spPr>
        <a:xfrm>
          <a:off x="6345610" y="38100"/>
          <a:ext cx="1972263" cy="77720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AE" sz="1600" b="1">
              <a:solidFill>
                <a:schemeClr val="tx1"/>
              </a:solidFill>
            </a:rPr>
            <a:t>Avg_Montly_Income</a:t>
          </a:r>
        </a:p>
        <a:p>
          <a:pPr algn="ctr"/>
          <a:r>
            <a:rPr lang="en-AE" sz="2000" b="1">
              <a:solidFill>
                <a:schemeClr val="tx1"/>
              </a:solidFill>
            </a:rPr>
            <a:t>6503</a:t>
          </a:r>
        </a:p>
      </xdr:txBody>
    </xdr:sp>
    <xdr:clientData/>
  </xdr:twoCellAnchor>
  <xdr:twoCellAnchor>
    <xdr:from>
      <xdr:col>13</xdr:col>
      <xdr:colOff>342900</xdr:colOff>
      <xdr:row>0</xdr:row>
      <xdr:rowOff>53341</xdr:rowOff>
    </xdr:from>
    <xdr:to>
      <xdr:col>16</xdr:col>
      <xdr:colOff>236220</xdr:colOff>
      <xdr:row>4</xdr:row>
      <xdr:rowOff>101914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C44BB29-9A6A-45EE-ACEC-50C30274C619}"/>
            </a:ext>
          </a:extLst>
        </xdr:cNvPr>
        <xdr:cNvSpPr/>
      </xdr:nvSpPr>
      <xdr:spPr>
        <a:xfrm>
          <a:off x="8394073" y="53341"/>
          <a:ext cx="1751283" cy="76980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2000" b="1">
              <a:solidFill>
                <a:schemeClr val="tx1"/>
              </a:solidFill>
            </a:rPr>
            <a:t>Attrition_Rate</a:t>
          </a:r>
        </a:p>
        <a:p>
          <a:pPr algn="ctr"/>
          <a:r>
            <a:rPr lang="en-AE" sz="1800" b="1">
              <a:solidFill>
                <a:schemeClr val="tx1"/>
              </a:solidFill>
            </a:rPr>
            <a:t>16.12</a:t>
          </a:r>
        </a:p>
        <a:p>
          <a:pPr algn="l"/>
          <a:endParaRPr lang="en-AE" sz="1100"/>
        </a:p>
      </xdr:txBody>
    </xdr:sp>
    <xdr:clientData/>
  </xdr:twoCellAnchor>
  <xdr:twoCellAnchor>
    <xdr:from>
      <xdr:col>16</xdr:col>
      <xdr:colOff>320040</xdr:colOff>
      <xdr:row>0</xdr:row>
      <xdr:rowOff>60960</xdr:rowOff>
    </xdr:from>
    <xdr:to>
      <xdr:col>18</xdr:col>
      <xdr:colOff>601980</xdr:colOff>
      <xdr:row>4</xdr:row>
      <xdr:rowOff>101913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0B3FAF3-DE68-457B-83F9-78E1616F78D3}"/>
            </a:ext>
          </a:extLst>
        </xdr:cNvPr>
        <xdr:cNvSpPr/>
      </xdr:nvSpPr>
      <xdr:spPr>
        <a:xfrm>
          <a:off x="10229176" y="60960"/>
          <a:ext cx="1520582" cy="76218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2000" b="1">
              <a:solidFill>
                <a:schemeClr val="tx1"/>
              </a:solidFill>
            </a:rPr>
            <a:t>Avg_Tenure</a:t>
          </a:r>
        </a:p>
        <a:p>
          <a:pPr algn="ctr"/>
          <a:r>
            <a:rPr lang="en-AE" sz="1800" b="1">
              <a:solidFill>
                <a:schemeClr val="tx1"/>
              </a:solidFill>
            </a:rPr>
            <a:t>7</a:t>
          </a:r>
        </a:p>
        <a:p>
          <a:pPr algn="l"/>
          <a:endParaRPr lang="en-AE" sz="1100"/>
        </a:p>
      </xdr:txBody>
    </xdr:sp>
    <xdr:clientData/>
  </xdr:twoCellAnchor>
  <xdr:twoCellAnchor>
    <xdr:from>
      <xdr:col>19</xdr:col>
      <xdr:colOff>203828</xdr:colOff>
      <xdr:row>0</xdr:row>
      <xdr:rowOff>53340</xdr:rowOff>
    </xdr:from>
    <xdr:to>
      <xdr:col>23</xdr:col>
      <xdr:colOff>83820</xdr:colOff>
      <xdr:row>4</xdr:row>
      <xdr:rowOff>109753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8013BB5-B1BC-4417-96EF-D0479B99B569}"/>
            </a:ext>
          </a:extLst>
        </xdr:cNvPr>
        <xdr:cNvSpPr/>
      </xdr:nvSpPr>
      <xdr:spPr>
        <a:xfrm>
          <a:off x="11970927" y="53340"/>
          <a:ext cx="2357276" cy="77764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800" b="1">
              <a:solidFill>
                <a:schemeClr val="tx1"/>
              </a:solidFill>
            </a:rPr>
            <a:t>Overtime_Percentage</a:t>
          </a:r>
        </a:p>
        <a:p>
          <a:pPr algn="ctr"/>
          <a:r>
            <a:rPr lang="en-AE" sz="2000" b="1">
              <a:solidFill>
                <a:schemeClr val="tx1"/>
              </a:solidFill>
            </a:rPr>
            <a:t>28.3</a:t>
          </a:r>
        </a:p>
      </xdr:txBody>
    </xdr:sp>
    <xdr:clientData/>
  </xdr:twoCellAnchor>
  <xdr:twoCellAnchor>
    <xdr:from>
      <xdr:col>0</xdr:col>
      <xdr:colOff>45720</xdr:colOff>
      <xdr:row>4</xdr:row>
      <xdr:rowOff>167640</xdr:rowOff>
    </xdr:from>
    <xdr:to>
      <xdr:col>7</xdr:col>
      <xdr:colOff>502920</xdr:colOff>
      <xdr:row>15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7652792-8C38-4FDB-8111-E9215E8AB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4</xdr:row>
      <xdr:rowOff>167640</xdr:rowOff>
    </xdr:from>
    <xdr:to>
      <xdr:col>14</xdr:col>
      <xdr:colOff>594360</xdr:colOff>
      <xdr:row>15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A4F618-47C8-4EAA-B3A4-CBCA9AC8A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4</xdr:row>
      <xdr:rowOff>160020</xdr:rowOff>
    </xdr:from>
    <xdr:to>
      <xdr:col>23</xdr:col>
      <xdr:colOff>7620</xdr:colOff>
      <xdr:row>15</xdr:row>
      <xdr:rowOff>68580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D00A95-FCA7-4026-98F0-3F7F98B60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68580</xdr:colOff>
      <xdr:row>15</xdr:row>
      <xdr:rowOff>114300</xdr:rowOff>
    </xdr:from>
    <xdr:to>
      <xdr:col>7</xdr:col>
      <xdr:colOff>502920</xdr:colOff>
      <xdr:row>25</xdr:row>
      <xdr:rowOff>129540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08CED6F-4984-4E4D-8D59-64F4471FE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7620</xdr:colOff>
      <xdr:row>15</xdr:row>
      <xdr:rowOff>99060</xdr:rowOff>
    </xdr:from>
    <xdr:to>
      <xdr:col>14</xdr:col>
      <xdr:colOff>601980</xdr:colOff>
      <xdr:row>25</xdr:row>
      <xdr:rowOff>137160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A44A923-DA22-4335-A8C4-ED0F51B59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152400</xdr:colOff>
      <xdr:row>15</xdr:row>
      <xdr:rowOff>99060</xdr:rowOff>
    </xdr:from>
    <xdr:to>
      <xdr:col>22</xdr:col>
      <xdr:colOff>594360</xdr:colOff>
      <xdr:row>25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3E18790D-171B-4C21-BE07-25081B7345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6900" y="2861310"/>
              <a:ext cx="4798060" cy="1887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53555</xdr:rowOff>
    </xdr:from>
    <xdr:to>
      <xdr:col>1</xdr:col>
      <xdr:colOff>466687</xdr:colOff>
      <xdr:row>4</xdr:row>
      <xdr:rowOff>91807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19F4815-DC9D-10BE-26E5-0D3C657F6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555"/>
          <a:ext cx="1086386" cy="77271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jan Mujawar" refreshedDate="46088.732626736113" createdVersion="8" refreshedVersion="8" minRefreshableVersion="3" recordCount="9" xr:uid="{B4F207CC-BED3-4DC3-A452-260D2F494065}">
  <cacheSource type="worksheet">
    <worksheetSource ref="F7:H16" sheet="Analysis"/>
  </cacheSource>
  <cacheFields count="3"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Left_Count" numFmtId="0">
      <sharedItems containsSemiMixedTypes="0" containsString="0" containsNumber="1" containsInteger="1" minValue="2" maxValue="62"/>
    </cacheField>
    <cacheField name="Stayed_Count" numFmtId="0">
      <sharedItems containsSemiMixedTypes="0" containsString="0" containsNumber="1" containsInteger="1" minValue="40" maxValue="2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jan Mujawar" refreshedDate="46088.733242013892" createdVersion="8" refreshedVersion="8" minRefreshableVersion="3" recordCount="4" xr:uid="{5E0D0A90-8394-4379-9470-21B036E3245B}">
  <cacheSource type="worksheet">
    <worksheetSource ref="J7:L11" sheet="Analysis"/>
  </cacheSource>
  <cacheFields count="3">
    <cacheField name="Salary_Bucket" numFmtId="0">
      <sharedItems count="4">
        <s v="01. Low ($0-$5k)"/>
        <s v="02. Mid ($5k-$10k)"/>
        <s v="03. High ($10k-$15k)"/>
        <s v="04. Executive ($15k+)"/>
      </sharedItems>
    </cacheField>
    <cacheField name="Total_Employees" numFmtId="0">
      <sharedItems containsSemiMixedTypes="0" containsString="0" containsNumber="1" containsInteger="1" minValue="133" maxValue="749"/>
    </cacheField>
    <cacheField name="Attrition_Count" numFmtId="0">
      <sharedItems containsSemiMixedTypes="0" containsString="0" containsNumber="1" containsInteger="1" minValue="5" maxValue="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jan Mujawar" refreshedDate="46088.733813773149" createdVersion="8" refreshedVersion="8" minRefreshableVersion="3" recordCount="6" xr:uid="{21C30548-258A-44EA-8A28-F39119E67124}">
  <cacheSource type="worksheet">
    <worksheetSource ref="N7:O13" sheet="Analysis"/>
  </cacheSource>
  <cacheFields count="2"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Attrition_Count" numFmtId="0">
      <sharedItems containsSemiMixedTypes="0" containsString="0" containsNumber="1" containsInteger="1" minValue="7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jan Mujawar" refreshedDate="46088.734336574074" createdVersion="8" refreshedVersion="8" minRefreshableVersion="3" recordCount="5" xr:uid="{60B5B8D2-CBC8-45F5-BADE-5E41E6E8DAFA}">
  <cacheSource type="worksheet">
    <worksheetSource ref="Q7:R12" sheet="Analysis"/>
  </cacheSource>
  <cacheFields count="2">
    <cacheField name="Age_Group" numFmtId="0">
      <sharedItems count="5">
        <s v="18-24"/>
        <s v="25-34"/>
        <s v="35-44"/>
        <s v="45-54"/>
        <s v="55+"/>
      </sharedItems>
    </cacheField>
    <cacheField name="Attrition_Rate" numFmtId="0">
      <sharedItems containsSemiMixedTypes="0" containsString="0" containsNumber="1" minValue="10.1" maxValue="39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jan Mujawar" refreshedDate="46088.73478460648" createdVersion="8" refreshedVersion="8" minRefreshableVersion="3" recordCount="6" xr:uid="{761A3755-3569-4840-B979-1E0229B0B132}">
  <cacheSource type="worksheet">
    <worksheetSource ref="T7:W13" sheet="Analysis"/>
  </cacheSource>
  <cacheFields count="4">
    <cacheField name="Gender" numFmtId="0">
      <sharedItems count="2">
        <s v="Female"/>
        <s v="Male"/>
      </sharedItems>
    </cacheField>
    <cacheField name="MaritalStatus" numFmtId="0">
      <sharedItems count="3">
        <s v="Single"/>
        <s v="Married"/>
        <s v="Divorced"/>
      </sharedItems>
    </cacheField>
    <cacheField name="Total_Employees" numFmtId="0">
      <sharedItems containsSemiMixedTypes="0" containsString="0" containsNumber="1" containsInteger="1" minValue="117" maxValue="401"/>
    </cacheField>
    <cacheField name="Attrition_Count" numFmtId="0">
      <sharedItems containsSemiMixedTypes="0" containsString="0" containsNumber="1" containsInteger="1" minValue="9" maxValue="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57"/>
    <n v="269"/>
  </r>
  <r>
    <x v="1"/>
    <n v="47"/>
    <n v="245"/>
  </r>
  <r>
    <x v="2"/>
    <n v="62"/>
    <n v="197"/>
  </r>
  <r>
    <x v="3"/>
    <n v="10"/>
    <n v="135"/>
  </r>
  <r>
    <x v="4"/>
    <n v="9"/>
    <n v="122"/>
  </r>
  <r>
    <x v="5"/>
    <n v="5"/>
    <n v="97"/>
  </r>
  <r>
    <x v="6"/>
    <n v="33"/>
    <n v="50"/>
  </r>
  <r>
    <x v="7"/>
    <n v="2"/>
    <n v="78"/>
  </r>
  <r>
    <x v="8"/>
    <n v="12"/>
    <n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49"/>
    <n v="163"/>
  </r>
  <r>
    <x v="1"/>
    <n v="440"/>
    <n v="49"/>
  </r>
  <r>
    <x v="2"/>
    <n v="148"/>
    <n v="20"/>
  </r>
  <r>
    <x v="3"/>
    <n v="133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89"/>
  </r>
  <r>
    <x v="1"/>
    <n v="11"/>
  </r>
  <r>
    <x v="2"/>
    <n v="63"/>
  </r>
  <r>
    <x v="3"/>
    <n v="35"/>
  </r>
  <r>
    <x v="4"/>
    <n v="32"/>
  </r>
  <r>
    <x v="5"/>
    <n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9.18"/>
  </r>
  <r>
    <x v="1"/>
    <n v="20.22"/>
  </r>
  <r>
    <x v="2"/>
    <n v="10.1"/>
  </r>
  <r>
    <x v="3"/>
    <n v="10.199999999999999"/>
  </r>
  <r>
    <x v="4"/>
    <n v="15.9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99"/>
    <n v="47"/>
  </r>
  <r>
    <x v="1"/>
    <x v="1"/>
    <n v="401"/>
    <n v="53"/>
  </r>
  <r>
    <x v="1"/>
    <x v="0"/>
    <n v="271"/>
    <n v="73"/>
  </r>
  <r>
    <x v="0"/>
    <x v="1"/>
    <n v="272"/>
    <n v="31"/>
  </r>
  <r>
    <x v="1"/>
    <x v="2"/>
    <n v="210"/>
    <n v="24"/>
  </r>
  <r>
    <x v="0"/>
    <x v="2"/>
    <n v="117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081B0-6879-48FA-A34E-8FB0E997DF5E}" name="PivotTable3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3:Q9" firstHeaderRow="1" firstDataRow="1" firstDataCol="1"/>
  <pivotFields count="2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ttrition_Rat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800DB-515A-404E-BDB5-702126ECD924}" name="PivotTable3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3:N10" firstHeaderRow="1" firstDataRow="1" firstDataCol="1"/>
  <pivotFields count="2">
    <pivotField axis="axisRow" showAll="0">
      <items count="7">
        <item x="5"/>
        <item x="0"/>
        <item x="3"/>
        <item x="2"/>
        <item x="1"/>
        <item x="4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ttrition_Count" fld="1" baseField="0" baseItem="0"/>
  </dataFields>
  <chartFormats count="7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B3C3C-B5CE-4E46-88AB-D9D05B388E23}" name="PivotTable3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I3:K8" firstHeaderRow="0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Employees" fld="1" baseField="0" baseItem="0"/>
    <dataField name="Sum of Attrition_Count" fld="2" baseField="0" baseItem="0"/>
  </dataFields>
  <chartFormats count="4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BE343-CB36-4719-A0CE-B77891C91C76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13" firstHeaderRow="0" firstDataRow="1" firstDataCol="1"/>
  <pivotFields count="3"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eft_Count" fld="1" baseField="0" baseItem="0"/>
    <dataField name="Sum of Stayed_Count" fld="2" baseField="0" baseItem="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497FB-68D3-4EFC-9C79-1A209B824528}" name="PivotTable4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3:G13" firstHeaderRow="0" firstDataRow="1" firstDataCol="1"/>
  <pivotFields count="3"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eft_Count" fld="1" baseField="0" baseItem="0"/>
    <dataField name="Sum of Stayed_Count" fld="2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0C431-1DF4-46B3-80ED-BD29224DA2B5}" name="PivotTable3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W12" firstHeaderRow="0" firstDataRow="1" firstDataCol="1"/>
  <pivotFields count="4"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Employees" fld="2" baseField="0" baseItem="0"/>
    <dataField name="Sum of Attrition_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E8E5-361E-4AE8-AF52-A6960E1D0BE1}">
  <dimension ref="A1:W16"/>
  <sheetViews>
    <sheetView workbookViewId="0">
      <selection activeCell="N2" sqref="N2"/>
    </sheetView>
  </sheetViews>
  <sheetFormatPr defaultRowHeight="14.5" x14ac:dyDescent="0.35"/>
  <cols>
    <col min="1" max="1" width="20.81640625" customWidth="1"/>
    <col min="2" max="2" width="14.453125" bestFit="1" customWidth="1"/>
    <col min="3" max="3" width="12.90625" bestFit="1" customWidth="1"/>
    <col min="6" max="6" width="22.6328125" bestFit="1" customWidth="1"/>
    <col min="7" max="7" width="11.81640625" bestFit="1" customWidth="1"/>
    <col min="8" max="8" width="11.90625" bestFit="1" customWidth="1"/>
    <col min="10" max="10" width="19.453125" bestFit="1" customWidth="1"/>
    <col min="11" max="11" width="18.54296875" bestFit="1" customWidth="1"/>
    <col min="12" max="12" width="12.90625" bestFit="1" customWidth="1"/>
    <col min="14" max="14" width="21.6328125" bestFit="1" customWidth="1"/>
    <col min="15" max="15" width="12.90625" bestFit="1" customWidth="1"/>
    <col min="17" max="17" width="17.54296875" bestFit="1" customWidth="1"/>
    <col min="18" max="18" width="11.81640625" bestFit="1" customWidth="1"/>
    <col min="20" max="20" width="21.453125" bestFit="1" customWidth="1"/>
    <col min="21" max="21" width="11.54296875" bestFit="1" customWidth="1"/>
    <col min="22" max="22" width="14.453125" bestFit="1" customWidth="1"/>
    <col min="23" max="23" width="12.90625" bestFit="1" customWidth="1"/>
  </cols>
  <sheetData>
    <row r="1" spans="1:23" x14ac:dyDescent="0.35">
      <c r="A1" t="s">
        <v>0</v>
      </c>
      <c r="D1" t="s">
        <v>2</v>
      </c>
      <c r="G1" t="s">
        <v>1</v>
      </c>
      <c r="I1" t="s">
        <v>3</v>
      </c>
      <c r="K1" t="s">
        <v>4</v>
      </c>
    </row>
    <row r="2" spans="1:23" x14ac:dyDescent="0.35">
      <c r="A2">
        <v>1470</v>
      </c>
      <c r="D2">
        <v>6503</v>
      </c>
      <c r="G2">
        <v>16.12</v>
      </c>
      <c r="I2">
        <v>7</v>
      </c>
      <c r="K2">
        <v>28.3</v>
      </c>
    </row>
    <row r="5" spans="1:23" x14ac:dyDescent="0.35">
      <c r="A5" t="s">
        <v>10</v>
      </c>
      <c r="F5" t="s">
        <v>11</v>
      </c>
      <c r="J5" t="s">
        <v>23</v>
      </c>
      <c r="N5" t="s">
        <v>29</v>
      </c>
      <c r="Q5" t="s">
        <v>36</v>
      </c>
      <c r="T5" t="s">
        <v>43</v>
      </c>
    </row>
    <row r="7" spans="1:23" x14ac:dyDescent="0.35">
      <c r="A7" t="s">
        <v>5</v>
      </c>
      <c r="B7" t="s">
        <v>0</v>
      </c>
      <c r="C7" t="s">
        <v>6</v>
      </c>
      <c r="F7" t="s">
        <v>12</v>
      </c>
      <c r="G7" t="s">
        <v>13</v>
      </c>
      <c r="H7" t="s">
        <v>14</v>
      </c>
      <c r="J7" t="s">
        <v>24</v>
      </c>
      <c r="K7" t="s">
        <v>0</v>
      </c>
      <c r="L7" t="s">
        <v>6</v>
      </c>
      <c r="N7" t="s">
        <v>30</v>
      </c>
      <c r="O7" t="s">
        <v>6</v>
      </c>
      <c r="Q7" t="s">
        <v>37</v>
      </c>
      <c r="R7" t="s">
        <v>1</v>
      </c>
      <c r="T7" t="s">
        <v>44</v>
      </c>
      <c r="U7" t="s">
        <v>45</v>
      </c>
      <c r="V7" t="s">
        <v>0</v>
      </c>
      <c r="W7" t="s">
        <v>6</v>
      </c>
    </row>
    <row r="8" spans="1:23" x14ac:dyDescent="0.35">
      <c r="A8" t="s">
        <v>7</v>
      </c>
      <c r="B8">
        <v>446</v>
      </c>
      <c r="C8">
        <v>92</v>
      </c>
      <c r="F8" t="s">
        <v>15</v>
      </c>
      <c r="G8">
        <v>57</v>
      </c>
      <c r="H8">
        <v>269</v>
      </c>
      <c r="J8" t="s">
        <v>25</v>
      </c>
      <c r="K8">
        <v>749</v>
      </c>
      <c r="L8">
        <v>163</v>
      </c>
      <c r="N8" t="s">
        <v>31</v>
      </c>
      <c r="O8">
        <v>89</v>
      </c>
      <c r="Q8" t="s">
        <v>38</v>
      </c>
      <c r="R8">
        <v>39.18</v>
      </c>
      <c r="T8" t="s">
        <v>46</v>
      </c>
      <c r="U8" t="s">
        <v>47</v>
      </c>
      <c r="V8">
        <v>199</v>
      </c>
      <c r="W8">
        <v>47</v>
      </c>
    </row>
    <row r="9" spans="1:23" x14ac:dyDescent="0.35">
      <c r="A9" t="s">
        <v>8</v>
      </c>
      <c r="B9">
        <v>961</v>
      </c>
      <c r="C9">
        <v>133</v>
      </c>
      <c r="F9" t="s">
        <v>16</v>
      </c>
      <c r="G9">
        <v>47</v>
      </c>
      <c r="H9">
        <v>245</v>
      </c>
      <c r="J9" t="s">
        <v>26</v>
      </c>
      <c r="K9">
        <v>440</v>
      </c>
      <c r="L9">
        <v>49</v>
      </c>
      <c r="N9" t="s">
        <v>32</v>
      </c>
      <c r="O9">
        <v>11</v>
      </c>
      <c r="Q9" t="s">
        <v>39</v>
      </c>
      <c r="R9">
        <v>20.22</v>
      </c>
      <c r="T9" t="s">
        <v>48</v>
      </c>
      <c r="U9" t="s">
        <v>49</v>
      </c>
      <c r="V9">
        <v>401</v>
      </c>
      <c r="W9">
        <v>53</v>
      </c>
    </row>
    <row r="10" spans="1:23" x14ac:dyDescent="0.35">
      <c r="A10" t="s">
        <v>9</v>
      </c>
      <c r="B10">
        <v>63</v>
      </c>
      <c r="C10">
        <v>12</v>
      </c>
      <c r="F10" t="s">
        <v>17</v>
      </c>
      <c r="G10">
        <v>62</v>
      </c>
      <c r="H10">
        <v>197</v>
      </c>
      <c r="J10" t="s">
        <v>27</v>
      </c>
      <c r="K10">
        <v>148</v>
      </c>
      <c r="L10">
        <v>20</v>
      </c>
      <c r="N10" t="s">
        <v>33</v>
      </c>
      <c r="O10">
        <v>63</v>
      </c>
      <c r="Q10" t="s">
        <v>40</v>
      </c>
      <c r="R10">
        <v>10.1</v>
      </c>
      <c r="T10" t="s">
        <v>48</v>
      </c>
      <c r="U10" t="s">
        <v>47</v>
      </c>
      <c r="V10">
        <v>271</v>
      </c>
      <c r="W10">
        <v>73</v>
      </c>
    </row>
    <row r="11" spans="1:23" x14ac:dyDescent="0.35">
      <c r="F11" t="s">
        <v>18</v>
      </c>
      <c r="G11">
        <v>10</v>
      </c>
      <c r="H11">
        <v>135</v>
      </c>
      <c r="J11" t="s">
        <v>28</v>
      </c>
      <c r="K11">
        <v>133</v>
      </c>
      <c r="L11">
        <v>5</v>
      </c>
      <c r="N11" t="s">
        <v>34</v>
      </c>
      <c r="O11">
        <v>35</v>
      </c>
      <c r="Q11" t="s">
        <v>41</v>
      </c>
      <c r="R11">
        <v>10.199999999999999</v>
      </c>
      <c r="T11" t="s">
        <v>46</v>
      </c>
      <c r="U11" t="s">
        <v>49</v>
      </c>
      <c r="V11">
        <v>272</v>
      </c>
      <c r="W11">
        <v>31</v>
      </c>
    </row>
    <row r="12" spans="1:23" x14ac:dyDescent="0.35">
      <c r="F12" t="s">
        <v>19</v>
      </c>
      <c r="G12">
        <v>9</v>
      </c>
      <c r="H12">
        <v>122</v>
      </c>
      <c r="N12" t="s">
        <v>35</v>
      </c>
      <c r="O12">
        <v>32</v>
      </c>
      <c r="Q12" t="s">
        <v>42</v>
      </c>
      <c r="R12">
        <v>15.94</v>
      </c>
      <c r="T12" t="s">
        <v>48</v>
      </c>
      <c r="U12" t="s">
        <v>50</v>
      </c>
      <c r="V12">
        <v>210</v>
      </c>
      <c r="W12">
        <v>24</v>
      </c>
    </row>
    <row r="13" spans="1:23" x14ac:dyDescent="0.35">
      <c r="F13" t="s">
        <v>20</v>
      </c>
      <c r="G13">
        <v>5</v>
      </c>
      <c r="H13">
        <v>97</v>
      </c>
      <c r="N13" t="s">
        <v>9</v>
      </c>
      <c r="O13">
        <v>7</v>
      </c>
      <c r="T13" t="s">
        <v>46</v>
      </c>
      <c r="U13" t="s">
        <v>50</v>
      </c>
      <c r="V13">
        <v>117</v>
      </c>
      <c r="W13">
        <v>9</v>
      </c>
    </row>
    <row r="14" spans="1:23" x14ac:dyDescent="0.35">
      <c r="F14" t="s">
        <v>21</v>
      </c>
      <c r="G14">
        <v>33</v>
      </c>
      <c r="H14">
        <v>50</v>
      </c>
    </row>
    <row r="15" spans="1:23" x14ac:dyDescent="0.35">
      <c r="F15" t="s">
        <v>22</v>
      </c>
      <c r="G15">
        <v>2</v>
      </c>
      <c r="H15">
        <v>78</v>
      </c>
    </row>
    <row r="16" spans="1:23" x14ac:dyDescent="0.35">
      <c r="F16" t="s">
        <v>9</v>
      </c>
      <c r="G16">
        <v>12</v>
      </c>
      <c r="H1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F4BD-2F1F-4C5F-AD46-53AA8FF6DC9F}">
  <dimension ref="A3:AA13"/>
  <sheetViews>
    <sheetView workbookViewId="0">
      <selection activeCell="Z15" sqref="Z15"/>
    </sheetView>
  </sheetViews>
  <sheetFormatPr defaultRowHeight="14.5" x14ac:dyDescent="0.35"/>
  <cols>
    <col min="1" max="1" width="22.6328125" bestFit="1" customWidth="1"/>
    <col min="2" max="2" width="15.90625" bestFit="1" customWidth="1"/>
    <col min="3" max="3" width="18.6328125" bestFit="1" customWidth="1"/>
    <col min="5" max="5" width="22.6328125" bestFit="1" customWidth="1"/>
    <col min="6" max="6" width="15.90625" bestFit="1" customWidth="1"/>
    <col min="7" max="7" width="18.6328125" bestFit="1" customWidth="1"/>
    <col min="8" max="8" width="17.36328125" customWidth="1"/>
    <col min="9" max="9" width="18" bestFit="1" customWidth="1"/>
    <col min="10" max="10" width="16.36328125" customWidth="1"/>
    <col min="11" max="11" width="19.1796875" customWidth="1"/>
    <col min="13" max="13" width="15.90625" bestFit="1" customWidth="1"/>
    <col min="14" max="14" width="19.81640625" bestFit="1" customWidth="1"/>
    <col min="16" max="16" width="12.453125" bestFit="1" customWidth="1"/>
    <col min="17" max="17" width="18.6328125" bestFit="1" customWidth="1"/>
    <col min="21" max="21" width="12.453125" bestFit="1" customWidth="1"/>
    <col min="22" max="22" width="21.36328125" bestFit="1" customWidth="1"/>
    <col min="23" max="24" width="19.81640625" bestFit="1" customWidth="1"/>
    <col min="25" max="25" width="10.54296875" bestFit="1" customWidth="1"/>
    <col min="26" max="26" width="25.90625" bestFit="1" customWidth="1"/>
    <col min="27" max="27" width="24.36328125" bestFit="1" customWidth="1"/>
  </cols>
  <sheetData>
    <row r="3" spans="1:27" x14ac:dyDescent="0.35">
      <c r="A3" s="1" t="s">
        <v>53</v>
      </c>
      <c r="B3" t="s">
        <v>55</v>
      </c>
      <c r="C3" t="s">
        <v>56</v>
      </c>
      <c r="E3" s="1" t="s">
        <v>53</v>
      </c>
      <c r="F3" t="s">
        <v>55</v>
      </c>
      <c r="G3" t="s">
        <v>56</v>
      </c>
      <c r="I3" s="1" t="s">
        <v>53</v>
      </c>
      <c r="J3" t="s">
        <v>51</v>
      </c>
      <c r="K3" t="s">
        <v>52</v>
      </c>
      <c r="M3" s="1" t="s">
        <v>53</v>
      </c>
      <c r="N3" t="s">
        <v>52</v>
      </c>
      <c r="P3" s="1" t="s">
        <v>53</v>
      </c>
      <c r="Q3" t="s">
        <v>57</v>
      </c>
      <c r="U3" s="1" t="s">
        <v>53</v>
      </c>
      <c r="V3" t="s">
        <v>51</v>
      </c>
      <c r="W3" t="s">
        <v>52</v>
      </c>
    </row>
    <row r="4" spans="1:27" x14ac:dyDescent="0.35">
      <c r="A4" s="2" t="s">
        <v>19</v>
      </c>
      <c r="B4">
        <v>9</v>
      </c>
      <c r="C4">
        <v>122</v>
      </c>
      <c r="E4" s="2" t="s">
        <v>19</v>
      </c>
      <c r="F4">
        <v>9</v>
      </c>
      <c r="G4">
        <v>122</v>
      </c>
      <c r="I4" s="2" t="s">
        <v>25</v>
      </c>
      <c r="J4">
        <v>749</v>
      </c>
      <c r="K4">
        <v>163</v>
      </c>
      <c r="M4" s="2" t="s">
        <v>9</v>
      </c>
      <c r="N4">
        <v>7</v>
      </c>
      <c r="P4" s="2" t="s">
        <v>38</v>
      </c>
      <c r="Q4">
        <v>39.18</v>
      </c>
      <c r="U4" s="2" t="s">
        <v>46</v>
      </c>
      <c r="V4">
        <v>588</v>
      </c>
      <c r="W4">
        <v>87</v>
      </c>
      <c r="Y4" s="4" t="s">
        <v>46</v>
      </c>
      <c r="Z4" s="5">
        <v>588</v>
      </c>
      <c r="AA4" s="5">
        <v>87</v>
      </c>
    </row>
    <row r="5" spans="1:27" x14ac:dyDescent="0.35">
      <c r="A5" s="2" t="s">
        <v>9</v>
      </c>
      <c r="B5">
        <v>12</v>
      </c>
      <c r="C5">
        <v>40</v>
      </c>
      <c r="E5" s="2" t="s">
        <v>9</v>
      </c>
      <c r="F5">
        <v>12</v>
      </c>
      <c r="G5">
        <v>40</v>
      </c>
      <c r="I5" s="2" t="s">
        <v>26</v>
      </c>
      <c r="J5">
        <v>440</v>
      </c>
      <c r="K5">
        <v>49</v>
      </c>
      <c r="M5" s="2" t="s">
        <v>31</v>
      </c>
      <c r="N5">
        <v>89</v>
      </c>
      <c r="P5" s="2" t="s">
        <v>39</v>
      </c>
      <c r="Q5">
        <v>20.22</v>
      </c>
      <c r="U5" s="3" t="s">
        <v>50</v>
      </c>
      <c r="V5">
        <v>117</v>
      </c>
      <c r="W5">
        <v>9</v>
      </c>
      <c r="Y5" s="3" t="s">
        <v>50</v>
      </c>
      <c r="Z5">
        <v>117</v>
      </c>
      <c r="AA5">
        <v>9</v>
      </c>
    </row>
    <row r="6" spans="1:27" x14ac:dyDescent="0.35">
      <c r="A6" s="2" t="s">
        <v>17</v>
      </c>
      <c r="B6">
        <v>62</v>
      </c>
      <c r="C6">
        <v>197</v>
      </c>
      <c r="E6" s="2" t="s">
        <v>17</v>
      </c>
      <c r="F6">
        <v>62</v>
      </c>
      <c r="G6">
        <v>197</v>
      </c>
      <c r="I6" s="2" t="s">
        <v>27</v>
      </c>
      <c r="J6">
        <v>148</v>
      </c>
      <c r="K6">
        <v>20</v>
      </c>
      <c r="M6" s="2" t="s">
        <v>34</v>
      </c>
      <c r="N6">
        <v>35</v>
      </c>
      <c r="P6" s="2" t="s">
        <v>40</v>
      </c>
      <c r="Q6">
        <v>10.1</v>
      </c>
      <c r="U6" s="3" t="s">
        <v>49</v>
      </c>
      <c r="V6">
        <v>272</v>
      </c>
      <c r="W6">
        <v>31</v>
      </c>
      <c r="Y6" s="3" t="s">
        <v>49</v>
      </c>
      <c r="Z6">
        <v>272</v>
      </c>
      <c r="AA6">
        <v>31</v>
      </c>
    </row>
    <row r="7" spans="1:27" x14ac:dyDescent="0.35">
      <c r="A7" s="2" t="s">
        <v>20</v>
      </c>
      <c r="B7">
        <v>5</v>
      </c>
      <c r="C7">
        <v>97</v>
      </c>
      <c r="E7" s="2" t="s">
        <v>20</v>
      </c>
      <c r="F7">
        <v>5</v>
      </c>
      <c r="G7">
        <v>97</v>
      </c>
      <c r="I7" s="2" t="s">
        <v>28</v>
      </c>
      <c r="J7">
        <v>133</v>
      </c>
      <c r="K7">
        <v>5</v>
      </c>
      <c r="M7" s="2" t="s">
        <v>33</v>
      </c>
      <c r="N7">
        <v>63</v>
      </c>
      <c r="P7" s="2" t="s">
        <v>41</v>
      </c>
      <c r="Q7">
        <v>10.199999999999999</v>
      </c>
      <c r="U7" s="3" t="s">
        <v>47</v>
      </c>
      <c r="V7">
        <v>199</v>
      </c>
      <c r="W7">
        <v>47</v>
      </c>
      <c r="Y7" s="3" t="s">
        <v>47</v>
      </c>
      <c r="Z7">
        <v>199</v>
      </c>
      <c r="AA7">
        <v>47</v>
      </c>
    </row>
    <row r="8" spans="1:27" x14ac:dyDescent="0.35">
      <c r="A8" s="2" t="s">
        <v>18</v>
      </c>
      <c r="B8">
        <v>10</v>
      </c>
      <c r="C8">
        <v>135</v>
      </c>
      <c r="E8" s="2" t="s">
        <v>18</v>
      </c>
      <c r="F8">
        <v>10</v>
      </c>
      <c r="G8">
        <v>135</v>
      </c>
      <c r="I8" s="2" t="s">
        <v>54</v>
      </c>
      <c r="J8">
        <v>1470</v>
      </c>
      <c r="K8">
        <v>237</v>
      </c>
      <c r="M8" s="2" t="s">
        <v>32</v>
      </c>
      <c r="N8">
        <v>11</v>
      </c>
      <c r="P8" s="2" t="s">
        <v>42</v>
      </c>
      <c r="Q8">
        <v>15.94</v>
      </c>
      <c r="U8" s="2" t="s">
        <v>48</v>
      </c>
      <c r="V8">
        <v>882</v>
      </c>
      <c r="W8">
        <v>150</v>
      </c>
      <c r="Y8" s="4" t="s">
        <v>48</v>
      </c>
      <c r="Z8" s="5">
        <v>882</v>
      </c>
      <c r="AA8" s="5">
        <v>150</v>
      </c>
    </row>
    <row r="9" spans="1:27" x14ac:dyDescent="0.35">
      <c r="A9" s="2" t="s">
        <v>22</v>
      </c>
      <c r="B9">
        <v>2</v>
      </c>
      <c r="C9">
        <v>78</v>
      </c>
      <c r="E9" s="2" t="s">
        <v>22</v>
      </c>
      <c r="F9">
        <v>2</v>
      </c>
      <c r="G9">
        <v>78</v>
      </c>
      <c r="M9" s="2" t="s">
        <v>35</v>
      </c>
      <c r="N9">
        <v>32</v>
      </c>
      <c r="P9" s="2" t="s">
        <v>54</v>
      </c>
      <c r="Q9">
        <v>95.64</v>
      </c>
      <c r="U9" s="3" t="s">
        <v>50</v>
      </c>
      <c r="V9">
        <v>210</v>
      </c>
      <c r="W9">
        <v>24</v>
      </c>
      <c r="Y9" s="3" t="s">
        <v>50</v>
      </c>
      <c r="Z9">
        <v>210</v>
      </c>
      <c r="AA9">
        <v>24</v>
      </c>
    </row>
    <row r="10" spans="1:27" x14ac:dyDescent="0.35">
      <c r="A10" s="2" t="s">
        <v>16</v>
      </c>
      <c r="B10">
        <v>47</v>
      </c>
      <c r="C10">
        <v>245</v>
      </c>
      <c r="E10" s="2" t="s">
        <v>16</v>
      </c>
      <c r="F10">
        <v>47</v>
      </c>
      <c r="G10">
        <v>245</v>
      </c>
      <c r="M10" s="2" t="s">
        <v>54</v>
      </c>
      <c r="N10">
        <v>237</v>
      </c>
      <c r="U10" s="3" t="s">
        <v>49</v>
      </c>
      <c r="V10">
        <v>401</v>
      </c>
      <c r="W10">
        <v>53</v>
      </c>
      <c r="Y10" s="3" t="s">
        <v>49</v>
      </c>
      <c r="Z10">
        <v>401</v>
      </c>
      <c r="AA10">
        <v>53</v>
      </c>
    </row>
    <row r="11" spans="1:27" x14ac:dyDescent="0.35">
      <c r="A11" s="2" t="s">
        <v>15</v>
      </c>
      <c r="B11">
        <v>57</v>
      </c>
      <c r="C11">
        <v>269</v>
      </c>
      <c r="E11" s="2" t="s">
        <v>15</v>
      </c>
      <c r="F11">
        <v>57</v>
      </c>
      <c r="G11">
        <v>269</v>
      </c>
      <c r="U11" s="3" t="s">
        <v>47</v>
      </c>
      <c r="V11">
        <v>271</v>
      </c>
      <c r="W11">
        <v>73</v>
      </c>
      <c r="Y11" s="3" t="s">
        <v>47</v>
      </c>
      <c r="Z11">
        <v>271</v>
      </c>
      <c r="AA11">
        <v>73</v>
      </c>
    </row>
    <row r="12" spans="1:27" x14ac:dyDescent="0.35">
      <c r="A12" s="2" t="s">
        <v>21</v>
      </c>
      <c r="B12">
        <v>33</v>
      </c>
      <c r="C12">
        <v>50</v>
      </c>
      <c r="E12" s="2" t="s">
        <v>21</v>
      </c>
      <c r="F12">
        <v>33</v>
      </c>
      <c r="G12">
        <v>50</v>
      </c>
      <c r="U12" s="2" t="s">
        <v>54</v>
      </c>
      <c r="V12">
        <v>1470</v>
      </c>
      <c r="W12">
        <v>237</v>
      </c>
      <c r="Y12" s="6" t="s">
        <v>54</v>
      </c>
      <c r="Z12" s="7">
        <v>1470</v>
      </c>
      <c r="AA12" s="7">
        <v>237</v>
      </c>
    </row>
    <row r="13" spans="1:27" x14ac:dyDescent="0.35">
      <c r="A13" s="2" t="s">
        <v>54</v>
      </c>
      <c r="B13">
        <v>237</v>
      </c>
      <c r="C13">
        <v>1233</v>
      </c>
      <c r="E13" s="2" t="s">
        <v>54</v>
      </c>
      <c r="F13">
        <v>237</v>
      </c>
      <c r="G13">
        <v>1233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FA6E-27CC-4A16-BE9D-C4717FE84E33}">
  <dimension ref="H8:H15"/>
  <sheetViews>
    <sheetView showGridLines="0" tabSelected="1" zoomScale="81" zoomScaleNormal="81" workbookViewId="0">
      <selection activeCell="X7" sqref="X7"/>
    </sheetView>
  </sheetViews>
  <sheetFormatPr defaultColWidth="8.90625" defaultRowHeight="14.5" x14ac:dyDescent="0.35"/>
  <cols>
    <col min="1" max="16384" width="8.90625" style="9"/>
  </cols>
  <sheetData>
    <row r="8" spans="8:8" x14ac:dyDescent="0.35">
      <c r="H8" s="8"/>
    </row>
    <row r="15" spans="8:8" x14ac:dyDescent="0.35">
      <c r="H15" s="9" t="s">
        <v>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Masharat Mujavar</dc:creator>
  <cp:lastModifiedBy>sayyed sami</cp:lastModifiedBy>
  <dcterms:created xsi:type="dcterms:W3CDTF">2026-03-07T11:41:42Z</dcterms:created>
  <dcterms:modified xsi:type="dcterms:W3CDTF">2026-05-22T16:47:26Z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2c16f68c-3960-4a7f-b22c-d79019eed87c</vt:lpwstr>
  </property>
</Properties>
</file>